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<sst xmlns="http://schemas.openxmlformats.org/spreadsheetml/2006/main" count="50" uniqueCount="50">
  <si>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Valores a capturar</t>
  </si>
  <si>
    <t>VS</t>
  </si>
  <si>
    <t xml:space="preserve">Very small</t>
  </si>
  <si>
    <t xml:space="preserve"> (métodos, no clases)</t>
  </si>
  <si>
    <t xml:space="preserve">Calculate the types with Fuzzy Logic Method</t>
  </si>
  <si>
    <t>VL</t>
  </si>
  <si>
    <t xml:space="preserve">Very large</t>
  </si>
  <si>
    <t>Calculation</t>
  </si>
  <si>
    <t xml:space="preserve">Cálculos matemáticos</t>
  </si>
  <si>
    <t>Data</t>
  </si>
  <si>
    <t xml:space="preserve">Base de datos</t>
  </si>
  <si>
    <t>LOCs</t>
  </si>
  <si>
    <t>Log</t>
  </si>
  <si>
    <t>Factor</t>
  </si>
  <si>
    <t>S</t>
  </si>
  <si>
    <t>M</t>
  </si>
  <si>
    <t>L</t>
  </si>
  <si>
    <t>IO</t>
  </si>
  <si>
    <t xml:space="preserve">Lectura y escritura</t>
  </si>
  <si>
    <t>Logic</t>
  </si>
  <si>
    <t xml:space="preserve">Estructura lógica principal</t>
  </si>
  <si>
    <t xml:space="preserve">Estimated Reuse</t>
  </si>
  <si>
    <t>Object</t>
  </si>
  <si>
    <t>Description</t>
  </si>
  <si>
    <t>Size</t>
  </si>
  <si>
    <t>Number</t>
  </si>
  <si>
    <t>LOC</t>
  </si>
  <si>
    <t>Total</t>
  </si>
  <si>
    <t>Input</t>
  </si>
  <si>
    <t xml:space="preserve"> </t>
  </si>
  <si>
    <t>Output</t>
  </si>
  <si>
    <t xml:space="preserve">Reuse TOTAL LOC</t>
  </si>
  <si>
    <t xml:space="preserve">Estimated Size, BASE</t>
  </si>
  <si>
    <t>App</t>
  </si>
  <si>
    <t xml:space="preserve">Base TOTAL LOC</t>
  </si>
  <si>
    <t xml:space="preserve">Estimated Size, Add</t>
  </si>
  <si>
    <t>sumX</t>
  </si>
  <si>
    <t>sumY</t>
  </si>
  <si>
    <t>sumXX</t>
  </si>
  <si>
    <t>sumXY</t>
  </si>
  <si>
    <t>sumYY</t>
  </si>
  <si>
    <t>avgX</t>
  </si>
  <si>
    <t>avgY</t>
  </si>
  <si>
    <t>B1</t>
  </si>
  <si>
    <t>B0</t>
  </si>
  <si>
    <t>yk</t>
  </si>
  <si>
    <t>R</t>
  </si>
  <si>
    <t>RR</t>
  </si>
  <si>
    <t xml:space="preserve">TOTAL LOC estimated</t>
  </si>
  <si>
    <t xml:space="preserve">TOTAL LOC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</si>
</sst>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</numFmts>
  <fonts count="22">
    <font>
      <sz val="10.000000"/>
      <color theme="1"/>
      <name val="Arial"/>
    </font>
    <font>
      <sz val="12.000000"/>
      <color theme="1" tint="0"/>
      <name val="Calibri"/>
      <scheme val="minor"/>
    </font>
    <font>
      <sz val="12.000000"/>
      <color theme="0" tint="0"/>
      <name val="Calibri"/>
      <scheme val="minor"/>
    </font>
    <font>
      <sz val="12.000000"/>
      <color indexed="2"/>
      <name val="Calibri"/>
      <scheme val="minor"/>
    </font>
    <font>
      <b/>
      <sz val="12.000000"/>
      <color rgb="FFFA7D00"/>
      <name val="Calibri"/>
      <scheme val="minor"/>
    </font>
    <font>
      <b/>
      <sz val="12.000000"/>
      <color theme="0" tint="0"/>
      <name val="Calibri"/>
      <scheme val="minor"/>
    </font>
    <font>
      <sz val="12.000000"/>
      <color rgb="FFFA7D00"/>
      <name val="Calibri"/>
      <scheme val="minor"/>
    </font>
    <font>
      <sz val="12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2.000000"/>
      <color rgb="FF3F3F76"/>
      <name val="Calibri"/>
      <scheme val="minor"/>
    </font>
    <font>
      <i/>
      <sz val="12.000000"/>
      <color rgb="FF7F7F7F"/>
      <name val="Calibri"/>
      <scheme val="minor"/>
    </font>
    <font>
      <sz val="12.000000"/>
      <color rgb="FF9C0006"/>
      <name val="Calibri"/>
      <scheme val="minor"/>
    </font>
    <font>
      <sz val="12.000000"/>
      <color rgb="FF9C6500"/>
      <name val="Calibri"/>
      <scheme val="minor"/>
    </font>
    <font>
      <b/>
      <sz val="12.000000"/>
      <color rgb="FF3F3F3F"/>
      <name val="Calibri"/>
      <scheme val="minor"/>
    </font>
    <font>
      <b/>
      <sz val="18.000000"/>
      <color theme="3" tint="0"/>
      <name val="Cambria"/>
      <scheme val="major"/>
    </font>
    <font>
      <b/>
      <sz val="12.000000"/>
      <color theme="1" tint="0"/>
      <name val="Calibri"/>
      <scheme val="minor"/>
    </font>
    <font>
      <b/>
      <sz val="10.000000"/>
      <name val="Arial"/>
    </font>
    <font>
      <sz val="10.000000"/>
      <color rgb="FFDD0806"/>
      <name val="Arial"/>
    </font>
    <font>
      <sz val="10.000000"/>
      <color indexed="65"/>
      <name val="Arial"/>
    </font>
    <font>
      <b/>
      <sz val="10.000000"/>
      <color indexed="65"/>
      <name val="Arial"/>
    </font>
  </fonts>
  <fills count="38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DD0806"/>
        <bgColor indexed="60"/>
      </patternFill>
    </fill>
    <fill>
      <patternFill patternType="solid">
        <fgColor indexed="49"/>
        <bgColor indexed="40"/>
      </patternFill>
    </fill>
    <fill>
      <patternFill patternType="solid">
        <fgColor rgb="FF90713A"/>
        <bgColor indexed="23"/>
      </patternFill>
    </fill>
    <fill>
      <patternFill patternType="solid">
        <fgColor rgb="FF0000D4"/>
        <bgColor indexed="4"/>
      </patternFill>
    </fill>
    <fill>
      <patternFill patternType="solid">
        <fgColor indexed="4"/>
        <bgColor rgb="FF0000D4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 style="none"/>
    </border>
    <border>
      <left style="thin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 style="none"/>
    </border>
    <border>
      <left style="thin">
        <color rgb="FF3C3C3C"/>
      </left>
      <right style="medium">
        <color rgb="FF3C3C3C"/>
      </right>
      <top style="medium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 style="none"/>
    </border>
    <border>
      <left style="thin">
        <color rgb="FF3C3C3C"/>
      </left>
      <right style="medium">
        <color rgb="FF3C3C3C"/>
      </right>
      <top style="thin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medium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thin">
        <color rgb="FF3C3C3C"/>
      </right>
      <top style="none"/>
      <bottom style="none"/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0" borderId="0" numFmtId="0" applyNumberFormat="1" applyFont="1" applyFill="1" applyBorder="1"/>
    <xf fontId="4" fillId="20" borderId="1" numFmtId="0" applyNumberFormat="1" applyFont="1" applyFill="1" applyBorder="1"/>
    <xf fontId="5" fillId="21" borderId="2" numFmtId="0" applyNumberFormat="1" applyFont="1" applyFill="1" applyBorder="1"/>
    <xf fontId="6" fillId="0" borderId="3" numFmtId="0" applyNumberFormat="1" applyFont="1" applyFill="1" applyBorder="1"/>
    <xf fontId="7" fillId="22" borderId="0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10" fillId="0" borderId="6" numFmtId="0" applyNumberFormat="1" applyFont="1" applyFill="1" applyBorder="1"/>
    <xf fontId="10" fillId="0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11" fillId="29" borderId="1" numFmtId="0" applyNumberFormat="1" applyFont="1" applyFill="1" applyBorder="1"/>
    <xf fontId="12" fillId="0" borderId="0" numFmtId="0" applyNumberFormat="1" applyFont="1" applyFill="1" applyBorder="1"/>
    <xf fontId="13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4" fillId="31" borderId="0" numFmtId="0" applyNumberFormat="1" applyFont="1" applyFill="1" applyBorder="1"/>
    <xf fontId="0" fillId="32" borderId="7" numFmtId="0" applyNumberFormat="1" applyFont="1" applyFill="1" applyBorder="1"/>
    <xf fontId="0" fillId="0" borderId="0" numFmtId="9" applyNumberFormat="1" applyFont="1" applyFill="1" applyBorder="1"/>
    <xf fontId="15" fillId="20" borderId="8" numFmtId="0" applyNumberFormat="1" applyFont="1" applyFill="1" applyBorder="1"/>
    <xf fontId="16" fillId="0" borderId="0" numFmtId="0" applyNumberFormat="1" applyFont="1" applyFill="1" applyBorder="1"/>
    <xf fontId="17" fillId="0" borderId="9" numFmtId="0" applyNumberFormat="1" applyFont="1" applyFill="1" applyBorder="1"/>
  </cellStyleXfs>
  <cellXfs count="30">
    <xf fontId="0" fillId="0" borderId="0" numFmtId="0" xfId="0"/>
    <xf fontId="18" fillId="0" borderId="10" numFmtId="0" xfId="0" applyFont="1" applyBorder="1"/>
    <xf fontId="19" fillId="33" borderId="10" numFmtId="0" xfId="0" applyFont="1" applyFill="1" applyBorder="1"/>
    <xf fontId="19" fillId="0" borderId="0" numFmtId="0" xfId="0" applyFont="1"/>
    <xf fontId="18" fillId="0" borderId="0" numFmtId="0" xfId="0" applyFont="1"/>
    <xf fontId="18" fillId="0" borderId="11" numFmtId="0" xfId="0" applyFont="1" applyBorder="1"/>
    <xf fontId="18" fillId="0" borderId="12" numFmtId="0" xfId="0" applyFont="1" applyBorder="1"/>
    <xf fontId="0" fillId="0" borderId="12" numFmtId="0" xfId="0" applyBorder="1"/>
    <xf fontId="0" fillId="0" borderId="13" numFmtId="0" xfId="0" applyBorder="1"/>
    <xf fontId="18" fillId="0" borderId="14" numFmtId="0" xfId="0" applyFont="1" applyBorder="1"/>
    <xf fontId="0" fillId="0" borderId="10" numFmtId="0" xfId="0" applyBorder="1"/>
    <xf fontId="0" fillId="0" borderId="15" numFmtId="0" xfId="0" applyBorder="1"/>
    <xf fontId="0" fillId="0" borderId="14" numFmtId="0" xfId="0" applyBorder="1"/>
    <xf fontId="20" fillId="33" borderId="10" numFmtId="0" xfId="0" applyFont="1" applyFill="1" applyBorder="1"/>
    <xf fontId="21" fillId="34" borderId="10" numFmtId="0" xfId="0" applyFont="1" applyFill="1" applyBorder="1"/>
    <xf fontId="20" fillId="35" borderId="15" numFmtId="0" xfId="0" applyFont="1" applyFill="1" applyBorder="1"/>
    <xf fontId="20" fillId="34" borderId="10" numFmtId="0" xfId="0" applyFont="1" applyFill="1" applyBorder="1"/>
    <xf fontId="0" fillId="0" borderId="16" numFmtId="0" xfId="0" applyBorder="1"/>
    <xf fontId="20" fillId="33" borderId="17" numFmtId="0" xfId="0" applyFont="1" applyFill="1" applyBorder="1"/>
    <xf fontId="21" fillId="34" borderId="17" numFmtId="0" xfId="0" applyFont="1" applyFill="1" applyBorder="1"/>
    <xf fontId="0" fillId="0" borderId="18" numFmtId="0" xfId="0" applyBorder="1"/>
    <xf fontId="20" fillId="34" borderId="17" numFmtId="0" xfId="0" applyFont="1" applyFill="1" applyBorder="1"/>
    <xf fontId="20" fillId="36" borderId="10" numFmtId="0" xfId="0" applyFont="1" applyFill="1" applyBorder="1"/>
    <xf fontId="0" fillId="0" borderId="0" numFmtId="0" xfId="0"/>
    <xf fontId="20" fillId="36" borderId="14" numFmtId="0" xfId="0" applyFont="1" applyFill="1" applyBorder="1"/>
    <xf fontId="20" fillId="36" borderId="15" numFmtId="0" xfId="0" applyFont="1" applyFill="1" applyBorder="1"/>
    <xf fontId="0" fillId="0" borderId="17" numFmtId="0" xfId="0" applyBorder="1"/>
    <xf fontId="18" fillId="0" borderId="18" numFmtId="0" xfId="0" applyFont="1" applyBorder="1"/>
    <xf fontId="0" fillId="0" borderId="19" numFmtId="0" xfId="0" applyBorder="1"/>
    <xf fontId="20" fillId="37" borderId="0" numFmtId="0" xfId="0" applyFont="1" applyFill="1"/>
  </cellXfs>
  <cellStyles count="47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Advertencia" xfId="19" builtinId="11"/>
    <cellStyle name="Calcular" xfId="20" builtinId="22"/>
    <cellStyle name="Celda comprob." xfId="21" builtinId="23"/>
    <cellStyle name="Celda vinculada" xfId="22" builtinId="24"/>
    <cellStyle name="Correcto" xfId="23" builtinId="26"/>
    <cellStyle name="Encabez. 1" xfId="24" builtinId="16"/>
    <cellStyle name="Encabez. 2" xfId="25" builtinId="17"/>
    <cellStyle name="Encabezado 3" xfId="26" builtinId="18"/>
    <cellStyle name="Encabezado 4" xfId="27" builtinId="19"/>
    <cellStyle name="Énfasis1" xfId="28" builtinId="29"/>
    <cellStyle name="Énfasis2" xfId="29" builtinId="33"/>
    <cellStyle name="Énfasis3" xfId="30" builtinId="37"/>
    <cellStyle name="Énfasis4" xfId="31" builtinId="41"/>
    <cellStyle name="Énfasis5" xfId="32" builtinId="45"/>
    <cellStyle name="Énfasis6" xfId="33" builtinId="49"/>
    <cellStyle name="Entrada" xfId="34" builtinId="20"/>
    <cellStyle name="Explicación" xfId="35" builtinId="53"/>
    <cellStyle name="Incorrecto" xfId="36" builtinId="27"/>
    <cellStyle name="Millares" xfId="37" builtinId="3"/>
    <cellStyle name="Millares [0]" xfId="38" builtinId="6"/>
    <cellStyle name="Moneda" xfId="39" builtinId="4"/>
    <cellStyle name="Moneda [0]" xfId="40" builtinId="7"/>
    <cellStyle name="Neutral" xfId="41" builtinId="28"/>
    <cellStyle name="Normal" xfId="0" builtinId="0"/>
    <cellStyle name="Nota" xfId="42" builtinId="10"/>
    <cellStyle name="Porcentual" xfId="43" builtinId="5"/>
    <cellStyle name="Salida" xfId="44" builtinId="21"/>
    <cellStyle name="Título" xfId="45" builtinId="15"/>
    <cellStyle name="Total" xfId="4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54367</xdr:colOff>
      <xdr:row>22</xdr:row>
      <xdr:rowOff>109615</xdr:rowOff>
    </xdr:from>
    <xdr:to>
      <xdr:col>15</xdr:col>
      <xdr:colOff>572987</xdr:colOff>
      <xdr:row>74</xdr:row>
      <xdr:rowOff>149422</xdr:rowOff>
    </xdr:to>
    <xdr:pic>
      <xdr:nvPicPr>
        <xdr:cNvPr id="1035" name="Imagen 1" descr="3a.jp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363217" y="3570365"/>
          <a:ext cx="6989269" cy="8148756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0" zoomScale="100" workbookViewId="0">
      <selection activeCell="G58" activeCellId="0" sqref="G58"/>
    </sheetView>
  </sheetViews>
  <sheetFormatPr baseColWidth="10" defaultRowHeight="12" customHeight="1"/>
  <cols>
    <col customWidth="1" min="2" max="2" width="32"/>
    <col customWidth="1" min="3" max="3" width="17"/>
    <col customWidth="1" min="5" max="5" width="18"/>
    <col customWidth="1" min="7" max="7" width="8.3320299999999996"/>
    <col customWidth="1" min="13" max="13" width="17"/>
  </cols>
  <sheetData>
    <row r="2" ht="12.75">
      <c r="C2" s="1" t="s">
        <v>0</v>
      </c>
      <c r="D2" s="2"/>
      <c r="K2" s="3" t="s">
        <v>1</v>
      </c>
      <c r="L2" s="3" t="s">
        <v>2</v>
      </c>
      <c r="M2" s="3" t="s">
        <v>3</v>
      </c>
    </row>
    <row r="3" ht="12.75">
      <c r="A3" s="4" t="s">
        <v>4</v>
      </c>
      <c r="K3" s="3" t="s">
        <v>5</v>
      </c>
      <c r="L3" s="3" t="s">
        <v>6</v>
      </c>
      <c r="M3" s="3"/>
    </row>
    <row r="4" ht="12">
      <c r="A4" s="4"/>
    </row>
    <row r="5" ht="12.75">
      <c r="A5" s="5" t="s">
        <v>7</v>
      </c>
      <c r="B5" s="6" t="s">
        <v>8</v>
      </c>
      <c r="C5" s="7"/>
      <c r="D5" s="8"/>
      <c r="F5" s="5" t="s">
        <v>9</v>
      </c>
      <c r="G5" s="6" t="s">
        <v>10</v>
      </c>
      <c r="H5" s="7"/>
      <c r="I5" s="8"/>
    </row>
    <row r="6" ht="12.75">
      <c r="A6" s="9"/>
      <c r="B6" s="10" t="s">
        <v>11</v>
      </c>
      <c r="C6" s="10" t="s">
        <v>12</v>
      </c>
      <c r="D6" s="11" t="s">
        <v>13</v>
      </c>
      <c r="F6" s="9"/>
      <c r="G6" s="10" t="s">
        <v>11</v>
      </c>
      <c r="H6" s="10" t="s">
        <v>12</v>
      </c>
      <c r="I6" s="11" t="s">
        <v>13</v>
      </c>
    </row>
    <row r="7" ht="12.75">
      <c r="A7" s="12" t="s">
        <v>1</v>
      </c>
      <c r="B7" s="13">
        <v>10</v>
      </c>
      <c r="C7" s="14">
        <f>LOG10(B7)</f>
        <v>1</v>
      </c>
      <c r="D7" s="15">
        <f>(C11-C7)/4</f>
        <v>0.069688400238207215</v>
      </c>
      <c r="F7" s="12" t="s">
        <v>1</v>
      </c>
      <c r="G7" s="13">
        <v>5</v>
      </c>
      <c r="H7" s="16">
        <f>LOG10(G7)</f>
        <v>0.69897000433601875</v>
      </c>
      <c r="I7" s="15">
        <f>(H11-H7)/4</f>
        <v>0.075257498915995313</v>
      </c>
    </row>
    <row r="8" ht="12.75">
      <c r="A8" s="12" t="s">
        <v>14</v>
      </c>
      <c r="B8" s="10">
        <f t="shared" ref="B8:B9" si="0">10^C8</f>
        <v>11.740548859440183</v>
      </c>
      <c r="C8" s="10">
        <f>C7+D7</f>
        <v>1.0696884002382072</v>
      </c>
      <c r="D8" s="11"/>
      <c r="F8" s="12" t="s">
        <v>14</v>
      </c>
      <c r="G8" s="10">
        <f t="shared" ref="G8:G9" si="1">10^H8</f>
        <v>5.9460355750136049</v>
      </c>
      <c r="H8" s="10">
        <f>H7+I7</f>
        <v>0.77422750325201406</v>
      </c>
      <c r="I8" s="11"/>
    </row>
    <row r="9" ht="12.75">
      <c r="A9" s="12" t="s">
        <v>15</v>
      </c>
      <c r="B9" s="10">
        <f t="shared" si="0"/>
        <v>13.78404875209022</v>
      </c>
      <c r="C9" s="10">
        <f>C8+D7</f>
        <v>1.1393768004764144</v>
      </c>
      <c r="D9" s="11"/>
      <c r="F9" s="12" t="s">
        <v>15</v>
      </c>
      <c r="G9" s="10">
        <f t="shared" si="1"/>
        <v>7.0710678118654746</v>
      </c>
      <c r="H9" s="10">
        <f>H8+I7</f>
        <v>0.84948500216800937</v>
      </c>
      <c r="I9" s="11"/>
    </row>
    <row r="10" ht="12.75">
      <c r="A10" s="12" t="s">
        <v>16</v>
      </c>
      <c r="B10" s="10">
        <f>10^C10</f>
        <v>16.183229785482073</v>
      </c>
      <c r="C10" s="10">
        <f>C9+D7</f>
        <v>1.2090652007146216</v>
      </c>
      <c r="D10" s="11"/>
      <c r="F10" s="12" t="s">
        <v>16</v>
      </c>
      <c r="G10" s="10">
        <f>10^H10</f>
        <v>8.4089641525371448</v>
      </c>
      <c r="H10" s="10">
        <f>H9+I7</f>
        <v>0.92474250108400469</v>
      </c>
      <c r="I10" s="11"/>
    </row>
    <row r="11" ht="12.75">
      <c r="A11" s="17" t="s">
        <v>5</v>
      </c>
      <c r="B11" s="18">
        <v>19</v>
      </c>
      <c r="C11" s="19">
        <f>LOG10(B11)</f>
        <v>1.2787536009528289</v>
      </c>
      <c r="D11" s="20"/>
      <c r="F11" s="17" t="s">
        <v>5</v>
      </c>
      <c r="G11" s="18">
        <v>10</v>
      </c>
      <c r="H11" s="21">
        <f>LOG10(G11)</f>
        <v>1</v>
      </c>
      <c r="I11" s="20"/>
    </row>
    <row r="15" ht="12.75">
      <c r="A15" s="5" t="s">
        <v>17</v>
      </c>
      <c r="B15" s="6" t="s">
        <v>18</v>
      </c>
      <c r="C15" s="7"/>
      <c r="D15" s="8"/>
      <c r="F15" s="5" t="s">
        <v>19</v>
      </c>
      <c r="G15" s="6" t="s">
        <v>20</v>
      </c>
      <c r="H15" s="7"/>
      <c r="I15" s="8"/>
    </row>
    <row r="16" ht="12.75">
      <c r="A16" s="9"/>
      <c r="B16" s="10" t="s">
        <v>11</v>
      </c>
      <c r="C16" s="10" t="s">
        <v>12</v>
      </c>
      <c r="D16" s="11" t="s">
        <v>13</v>
      </c>
      <c r="F16" s="9"/>
      <c r="G16" s="10" t="s">
        <v>11</v>
      </c>
      <c r="H16" s="10" t="s">
        <v>12</v>
      </c>
      <c r="I16" s="11" t="s">
        <v>13</v>
      </c>
    </row>
    <row r="17" ht="12.75">
      <c r="A17" s="12" t="s">
        <v>1</v>
      </c>
      <c r="B17" s="13">
        <v>10</v>
      </c>
      <c r="C17" s="16">
        <f>LOG10(B17)</f>
        <v>1</v>
      </c>
      <c r="D17" s="15">
        <f>(C21-C17)/4</f>
        <v>0.057612230344568471</v>
      </c>
      <c r="F17" s="12" t="s">
        <v>1</v>
      </c>
      <c r="G17" s="13">
        <v>22</v>
      </c>
      <c r="H17" s="16">
        <f>LOG10(G17)</f>
        <v>1.3424226808222062</v>
      </c>
      <c r="I17" s="15">
        <f>(H21-H17)/4</f>
        <v>0.026183837630003204</v>
      </c>
    </row>
    <row r="18" ht="12.75">
      <c r="A18" s="12" t="s">
        <v>14</v>
      </c>
      <c r="B18" s="10">
        <f t="shared" ref="B18:B20" si="2">10^C18</f>
        <v>11.418583454354266</v>
      </c>
      <c r="C18" s="10">
        <f>C17+D17</f>
        <v>1.0576122303445685</v>
      </c>
      <c r="D18" s="11"/>
      <c r="F18" s="12" t="s">
        <v>14</v>
      </c>
      <c r="G18" s="10">
        <f t="shared" ref="G18:G20" si="3">10^H18</f>
        <v>23.367191539070276</v>
      </c>
      <c r="H18" s="10">
        <f>H17+I17</f>
        <v>1.3686065184522094</v>
      </c>
      <c r="I18" s="11"/>
    </row>
    <row r="19" ht="12.75">
      <c r="A19" s="12" t="s">
        <v>15</v>
      </c>
      <c r="B19" s="10">
        <f t="shared" si="2"/>
        <v>13.0384048104053</v>
      </c>
      <c r="C19" s="10">
        <f>C18+D17</f>
        <v>1.1152244606891371</v>
      </c>
      <c r="D19" s="11"/>
      <c r="F19" s="12" t="s">
        <v>15</v>
      </c>
      <c r="G19" s="10">
        <f t="shared" si="3"/>
        <v>24.819347291981707</v>
      </c>
      <c r="H19" s="10">
        <f>H18+I17</f>
        <v>1.3947903560822126</v>
      </c>
      <c r="I19" s="11"/>
    </row>
    <row r="20" ht="12.75">
      <c r="A20" s="12" t="s">
        <v>16</v>
      </c>
      <c r="B20" s="10">
        <f t="shared" si="2"/>
        <v>14.888011343926703</v>
      </c>
      <c r="C20" s="10">
        <f>C19+D17</f>
        <v>1.1728366910337056</v>
      </c>
      <c r="D20" s="11"/>
      <c r="F20" s="12" t="s">
        <v>16</v>
      </c>
      <c r="G20" s="10">
        <f t="shared" si="3"/>
        <v>26.361747365747348</v>
      </c>
      <c r="H20" s="10">
        <f>H19+I17</f>
        <v>1.4209741937122158</v>
      </c>
      <c r="I20" s="11"/>
    </row>
    <row r="21" ht="12.75">
      <c r="A21" s="17" t="s">
        <v>5</v>
      </c>
      <c r="B21" s="18">
        <v>17</v>
      </c>
      <c r="C21" s="21">
        <f>LOG10(B21)</f>
        <v>1.2304489213782739</v>
      </c>
      <c r="D21" s="20"/>
      <c r="F21" s="17" t="s">
        <v>5</v>
      </c>
      <c r="G21" s="18">
        <v>28</v>
      </c>
      <c r="H21" s="21">
        <f>LOG10(G21)</f>
        <v>1.447158031342219</v>
      </c>
      <c r="I21" s="20"/>
    </row>
    <row r="23" ht="12.75">
      <c r="A23" s="1" t="s">
        <v>21</v>
      </c>
      <c r="B23" s="10"/>
      <c r="C23" s="10"/>
      <c r="D23" s="10"/>
      <c r="E23" s="10"/>
      <c r="F23" s="10"/>
    </row>
    <row r="24" ht="12">
      <c r="A24" s="10"/>
      <c r="B24" s="10"/>
      <c r="C24" s="10"/>
      <c r="D24" s="10"/>
      <c r="E24" s="10"/>
      <c r="F24" s="10"/>
    </row>
    <row r="25" ht="12.75">
      <c r="A25" s="22" t="s">
        <v>22</v>
      </c>
      <c r="B25" s="22" t="s">
        <v>23</v>
      </c>
      <c r="C25" s="22" t="s">
        <v>24</v>
      </c>
      <c r="D25" s="22" t="s">
        <v>25</v>
      </c>
      <c r="E25" s="22" t="s">
        <v>26</v>
      </c>
      <c r="F25" s="22" t="s">
        <v>27</v>
      </c>
    </row>
    <row r="26" ht="12.75">
      <c r="A26" s="10" t="s">
        <v>28</v>
      </c>
      <c r="B26" s="10" t="s">
        <v>29</v>
      </c>
      <c r="C26" s="10" t="s">
        <v>16</v>
      </c>
      <c r="D26" s="10">
        <v>1</v>
      </c>
      <c r="E26" s="10">
        <f>G10</f>
        <v>8.4089641525371448</v>
      </c>
      <c r="F26" s="10">
        <f t="shared" ref="F26:F28" si="4">D26*E26</f>
        <v>8.4089641525371448</v>
      </c>
    </row>
    <row r="27" ht="12.75">
      <c r="A27" s="10" t="s">
        <v>9</v>
      </c>
      <c r="B27" s="10" t="s">
        <v>29</v>
      </c>
      <c r="C27" s="10" t="s">
        <v>15</v>
      </c>
      <c r="D27" s="10">
        <v>1</v>
      </c>
      <c r="E27" s="10">
        <f>G9</f>
        <v>7.0710678118654746</v>
      </c>
      <c r="F27" s="10">
        <f t="shared" si="4"/>
        <v>7.0710678118654746</v>
      </c>
    </row>
    <row r="28" ht="12.75">
      <c r="A28" s="10" t="s">
        <v>30</v>
      </c>
      <c r="B28" s="10" t="s">
        <v>29</v>
      </c>
      <c r="C28" s="10" t="s">
        <v>15</v>
      </c>
      <c r="D28" s="10">
        <v>1</v>
      </c>
      <c r="E28" s="10">
        <f>G9</f>
        <v>7.0710678118654746</v>
      </c>
      <c r="F28" s="10">
        <f t="shared" si="4"/>
        <v>7.0710678118654746</v>
      </c>
    </row>
    <row r="29" ht="12.75">
      <c r="A29" s="10"/>
      <c r="B29" s="10"/>
      <c r="C29" s="10"/>
      <c r="D29" s="10"/>
      <c r="E29" s="10" t="s">
        <v>31</v>
      </c>
      <c r="F29" s="10">
        <f>SUM(F26:F28)</f>
        <v>22.551099776268096</v>
      </c>
    </row>
    <row r="30" ht="12">
      <c r="A30" s="23"/>
      <c r="B30" s="23"/>
      <c r="C30" s="23"/>
      <c r="D30" s="23"/>
      <c r="E30" s="23"/>
      <c r="F30" s="23"/>
    </row>
    <row r="31" ht="12.75">
      <c r="A31" s="5" t="s">
        <v>32</v>
      </c>
      <c r="B31" s="7"/>
      <c r="C31" s="7"/>
      <c r="D31" s="7"/>
      <c r="E31" s="7"/>
      <c r="F31" s="8"/>
    </row>
    <row r="32" ht="12">
      <c r="A32" s="12"/>
      <c r="B32" s="10"/>
      <c r="C32" s="10"/>
      <c r="D32" s="10"/>
      <c r="E32" s="10"/>
      <c r="F32" s="11"/>
    </row>
    <row r="33" ht="12.75">
      <c r="A33" s="24" t="s">
        <v>22</v>
      </c>
      <c r="B33" s="22" t="s">
        <v>23</v>
      </c>
      <c r="C33" s="22" t="s">
        <v>24</v>
      </c>
      <c r="D33" s="22" t="s">
        <v>25</v>
      </c>
      <c r="E33" s="22" t="s">
        <v>26</v>
      </c>
      <c r="F33" s="25" t="s">
        <v>27</v>
      </c>
    </row>
    <row r="34" ht="12.75">
      <c r="A34" s="12" t="s">
        <v>33</v>
      </c>
      <c r="B34" s="10" t="s">
        <v>29</v>
      </c>
      <c r="C34" s="10" t="s">
        <v>15</v>
      </c>
      <c r="D34" s="10">
        <v>1</v>
      </c>
      <c r="E34" s="10">
        <f t="shared" ref="E34:E35" si="5">G19</f>
        <v>24.819347291981707</v>
      </c>
      <c r="F34" s="11">
        <f t="shared" ref="F34:F35" si="6">D34*E34</f>
        <v>24.819347291981707</v>
      </c>
    </row>
    <row r="35" ht="12.75">
      <c r="A35" s="12" t="s">
        <v>19</v>
      </c>
      <c r="B35" s="10" t="s">
        <v>29</v>
      </c>
      <c r="C35" s="10" t="s">
        <v>16</v>
      </c>
      <c r="D35" s="10">
        <v>1</v>
      </c>
      <c r="E35" s="10">
        <f t="shared" si="5"/>
        <v>26.361747365747348</v>
      </c>
      <c r="F35" s="11">
        <f t="shared" si="6"/>
        <v>26.361747365747348</v>
      </c>
    </row>
    <row r="36" ht="12">
      <c r="A36" s="12"/>
      <c r="B36" s="10"/>
      <c r="C36" s="10"/>
      <c r="D36" s="10"/>
      <c r="E36" s="10"/>
      <c r="F36" s="11"/>
    </row>
    <row r="37" ht="12.75">
      <c r="A37" s="17"/>
      <c r="B37" s="26"/>
      <c r="C37" s="26"/>
      <c r="D37" s="26"/>
      <c r="E37" s="26" t="s">
        <v>34</v>
      </c>
      <c r="F37" s="27">
        <f>SUM(F34:F35)</f>
        <v>51.181094657729055</v>
      </c>
    </row>
    <row r="39" ht="12.75">
      <c r="A39" s="1" t="s">
        <v>35</v>
      </c>
      <c r="B39" s="10"/>
      <c r="C39" s="10"/>
      <c r="D39" s="10"/>
      <c r="E39" s="10"/>
      <c r="F39" s="10"/>
    </row>
    <row r="40" ht="12">
      <c r="A40" s="10"/>
      <c r="B40" s="10"/>
      <c r="C40" s="10"/>
      <c r="D40" s="10"/>
      <c r="E40" s="10"/>
      <c r="F40" s="10"/>
    </row>
    <row r="41" ht="12.75">
      <c r="A41" s="22" t="s">
        <v>22</v>
      </c>
      <c r="B41" s="22" t="s">
        <v>23</v>
      </c>
      <c r="C41" s="22" t="s">
        <v>24</v>
      </c>
      <c r="D41" s="22" t="s">
        <v>25</v>
      </c>
      <c r="E41" s="22" t="s">
        <v>26</v>
      </c>
      <c r="F41" s="22" t="s">
        <v>27</v>
      </c>
    </row>
    <row r="42" ht="12.75">
      <c r="A42" s="10" t="s">
        <v>36</v>
      </c>
      <c r="B42" s="10" t="s">
        <v>29</v>
      </c>
      <c r="C42" s="10" t="s">
        <v>15</v>
      </c>
      <c r="D42" s="10">
        <v>1</v>
      </c>
      <c r="E42" s="10">
        <f>B9</f>
        <v>13.78404875209022</v>
      </c>
      <c r="F42" s="10">
        <f t="shared" ref="F42:F53" si="7">D42*E42</f>
        <v>13.78404875209022</v>
      </c>
    </row>
    <row r="43" ht="12.75">
      <c r="A43" s="10" t="s">
        <v>37</v>
      </c>
      <c r="B43" s="10" t="s">
        <v>29</v>
      </c>
      <c r="C43" s="10" t="s">
        <v>15</v>
      </c>
      <c r="D43" s="10">
        <v>1</v>
      </c>
      <c r="E43" s="10">
        <f>B9</f>
        <v>13.78404875209022</v>
      </c>
      <c r="F43" s="10">
        <f t="shared" si="7"/>
        <v>13.78404875209022</v>
      </c>
    </row>
    <row r="44" ht="12.75">
      <c r="A44" s="10" t="s">
        <v>38</v>
      </c>
      <c r="B44" s="10" t="s">
        <v>29</v>
      </c>
      <c r="C44" s="10" t="s">
        <v>15</v>
      </c>
      <c r="D44" s="10">
        <v>1</v>
      </c>
      <c r="E44" s="10">
        <f>B9</f>
        <v>13.78404875209022</v>
      </c>
      <c r="F44" s="10">
        <f t="shared" si="7"/>
        <v>13.78404875209022</v>
      </c>
    </row>
    <row r="45" ht="12.75">
      <c r="A45" s="10" t="s">
        <v>39</v>
      </c>
      <c r="B45" s="10" t="s">
        <v>29</v>
      </c>
      <c r="C45" s="10" t="s">
        <v>15</v>
      </c>
      <c r="D45" s="10">
        <v>1</v>
      </c>
      <c r="E45" s="10">
        <f>B9</f>
        <v>13.78404875209022</v>
      </c>
      <c r="F45" s="10">
        <f t="shared" si="7"/>
        <v>13.78404875209022</v>
      </c>
    </row>
    <row r="46" ht="12.75">
      <c r="A46" s="10" t="s">
        <v>40</v>
      </c>
      <c r="B46" s="10" t="s">
        <v>29</v>
      </c>
      <c r="C46" s="10" t="s">
        <v>15</v>
      </c>
      <c r="D46" s="10">
        <v>1</v>
      </c>
      <c r="E46" s="10">
        <f>B9</f>
        <v>13.78404875209022</v>
      </c>
      <c r="F46" s="10">
        <f t="shared" si="7"/>
        <v>13.78404875209022</v>
      </c>
    </row>
    <row r="47" ht="12.75">
      <c r="A47" s="10" t="s">
        <v>41</v>
      </c>
      <c r="B47" s="10" t="s">
        <v>29</v>
      </c>
      <c r="C47" s="10" t="s">
        <v>14</v>
      </c>
      <c r="D47" s="10">
        <v>1</v>
      </c>
      <c r="E47" s="10">
        <f>B8</f>
        <v>11.740548859440183</v>
      </c>
      <c r="F47" s="10">
        <f t="shared" si="7"/>
        <v>11.740548859440183</v>
      </c>
    </row>
    <row r="48" ht="12.75">
      <c r="A48" s="10" t="s">
        <v>42</v>
      </c>
      <c r="B48" s="10"/>
      <c r="C48" s="10" t="s">
        <v>14</v>
      </c>
      <c r="D48" s="10">
        <v>1</v>
      </c>
      <c r="E48" s="10">
        <f>B8</f>
        <v>11.740548859440183</v>
      </c>
      <c r="F48" s="10">
        <f t="shared" si="7"/>
        <v>11.740548859440183</v>
      </c>
    </row>
    <row r="49" ht="12.75">
      <c r="A49" s="10" t="s">
        <v>43</v>
      </c>
      <c r="B49" s="10"/>
      <c r="C49" s="10" t="s">
        <v>16</v>
      </c>
      <c r="D49" s="10">
        <v>1</v>
      </c>
      <c r="E49" s="10">
        <f>B10</f>
        <v>16.183229785482073</v>
      </c>
      <c r="F49" s="10">
        <f t="shared" si="7"/>
        <v>16.183229785482073</v>
      </c>
    </row>
    <row r="50" ht="12.75">
      <c r="A50" s="10" t="s">
        <v>44</v>
      </c>
      <c r="B50" s="10"/>
      <c r="C50" s="10" t="s">
        <v>14</v>
      </c>
      <c r="D50" s="10">
        <v>1</v>
      </c>
      <c r="E50" s="10">
        <f>B8</f>
        <v>11.740548859440183</v>
      </c>
      <c r="F50" s="10">
        <f t="shared" si="7"/>
        <v>11.740548859440183</v>
      </c>
    </row>
    <row r="51" ht="12.75">
      <c r="A51" s="10" t="s">
        <v>45</v>
      </c>
      <c r="B51" s="10"/>
      <c r="C51" s="10" t="s">
        <v>14</v>
      </c>
      <c r="D51" s="10">
        <v>1</v>
      </c>
      <c r="E51" s="10">
        <f>B8</f>
        <v>11.740548859440183</v>
      </c>
      <c r="F51" s="10">
        <f t="shared" si="7"/>
        <v>11.740548859440183</v>
      </c>
    </row>
    <row r="52" ht="12.75">
      <c r="A52" s="10" t="s">
        <v>46</v>
      </c>
      <c r="B52" s="10"/>
      <c r="C52" s="10" t="s">
        <v>5</v>
      </c>
      <c r="D52" s="10">
        <v>1</v>
      </c>
      <c r="E52" s="10">
        <f>B11</f>
        <v>19</v>
      </c>
      <c r="F52" s="10">
        <f t="shared" si="7"/>
        <v>19</v>
      </c>
    </row>
    <row r="53" ht="12.75">
      <c r="A53" s="10" t="s">
        <v>47</v>
      </c>
      <c r="B53" s="10"/>
      <c r="C53" s="10" t="s">
        <v>14</v>
      </c>
      <c r="D53" s="10">
        <v>1</v>
      </c>
      <c r="E53" s="10">
        <f>B8</f>
        <v>11.740548859440183</v>
      </c>
      <c r="F53" s="10">
        <f t="shared" si="7"/>
        <v>11.740548859440183</v>
      </c>
    </row>
    <row r="54" ht="12">
      <c r="A54" s="10"/>
      <c r="B54" s="10"/>
      <c r="C54" s="10"/>
      <c r="D54" s="10"/>
      <c r="E54" s="10"/>
      <c r="F54" s="10"/>
    </row>
    <row r="55" ht="12.75">
      <c r="A55" s="10"/>
      <c r="B55" s="10" t="s">
        <v>29</v>
      </c>
      <c r="C55" s="10"/>
      <c r="D55" s="10"/>
      <c r="E55" s="10" t="s">
        <v>48</v>
      </c>
      <c r="F55" s="1">
        <f>SUM(F42:F53)</f>
        <v>162.80621784313411</v>
      </c>
    </row>
    <row r="56" ht="12.75">
      <c r="B56" s="28" t="s">
        <v>29</v>
      </c>
    </row>
    <row r="57" ht="12.75">
      <c r="B57" s="28" t="s">
        <v>29</v>
      </c>
    </row>
    <row r="58" ht="12.75">
      <c r="F58" s="29" t="s">
        <v>49</v>
      </c>
      <c r="G58" s="29">
        <f>F29+F37+F55</f>
        <v>236.53841227713127</v>
      </c>
    </row>
  </sheetData>
  <printOptions headings="0" gridLines="0"/>
  <pageMargins left="0.74791700000000005" right="0.74791700000000005" top="0.98402800000000012" bottom="0.98402800000000012" header="0.51180599999999998" footer="0.51180599999999998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2025-11-23T20:09:31Z</dcterms:modified>
</cp:coreProperties>
</file>